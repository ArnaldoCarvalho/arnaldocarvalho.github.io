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workbookPassword="C101"/>
  <bookViews>
    <workbookView xWindow="360" yWindow="15" windowWidth="20955" windowHeight="9720" activeTab="1"/>
  </bookViews>
  <sheets>
    <sheet name="Instructions" sheetId="1" state="visible" r:id="rId1"/>
    <sheet name="Survival Worksheet" sheetId="2" state="visible" r:id="rId2"/>
    <sheet name="Background Data" sheetId="3" state="visible" r:id="rId3"/>
  </sheets>
  <definedNames>
    <definedName name="Answers">'Survival Worksheet'!$B$13:$B$50</definedName>
    <definedName name="FinalScore">'Survival Worksheet'!$B$52</definedName>
    <definedName name="PreliminaryScore">'Survival Worksheet'!$B$51</definedName>
    <definedName name="TeamSize">'Survival Worksheet'!$C$10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<sst xmlns="http://schemas.openxmlformats.org/spreadsheetml/2006/main" count="73" uniqueCount="73">
  <si>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Validación de Proyectos de Sobrevivencia</t>
  </si>
  <si>
    <t xml:space="preserve">Administración de Proyectos de Sistemas de Información</t>
  </si>
  <si>
    <t>Instructions</t>
  </si>
  <si>
    <t xml:space="preserve">Fill in the "Project Name" at the top of the sheet</t>
  </si>
  <si>
    <t xml:space="preserve">For each question, give the project 3 points for each "yes" answer, 0 points for each "no" answer.</t>
  </si>
  <si>
    <t xml:space="preserve">Give the project partial credit if you feel that is most accurate—for example, give it 2 points for "probably" and 1 point for "kind of, but not really."</t>
  </si>
  <si>
    <t xml:space="preserve">If the project is in the early stages, answer the questions based on the project plans. </t>
  </si>
  <si>
    <t xml:space="preserve">If the project is underway, answer the questions based on what is actually happening on the project. </t>
  </si>
  <si>
    <t xml:space="preserve">The section following the test explains how to interpret the score.</t>
  </si>
  <si>
    <t xml:space="preserve">Incomplete answers are colored blue</t>
  </si>
  <si>
    <t xml:space="preserve">Answers outside the valid input range are colored red.</t>
  </si>
  <si>
    <t xml:space="preserve">Valid, complete answers are colored black</t>
  </si>
  <si>
    <t xml:space="preserve">The "Tools | Protection | Unprotect Sheet" command will unprotect the entire worksheet, allowing you to customize it for your projects</t>
  </si>
  <si>
    <t xml:space="preserve">Click the "Survival Worksheet" tab, below, to begin.</t>
  </si>
  <si>
    <t xml:space="preserve">Survival Test</t>
  </si>
  <si>
    <t xml:space="preserve">Project Name:</t>
  </si>
  <si>
    <t xml:space="preserve">Consultoria Auto Premium</t>
  </si>
  <si>
    <t xml:space="preserve">Team Size</t>
  </si>
  <si>
    <t xml:space="preserve">Number of Team Members (full-time– equivalent people including developers, quality assurance personnel, and first-level management)</t>
  </si>
  <si>
    <t>Requirements</t>
  </si>
  <si>
    <t xml:space="preserve">Does the project have a clear, unambiguous vision statement or mission statement?</t>
  </si>
  <si>
    <t xml:space="preserve">Do all team members believe the vision is realistic?</t>
  </si>
  <si>
    <t xml:space="preserve">Does the project have a business case that details the business benefit and how the benefit will be measured?</t>
  </si>
  <si>
    <t xml:space="preserve">Does the project have a user interface prototype that realistically and vividly demonstrates the functionality that the actual system will have?</t>
  </si>
  <si>
    <t xml:space="preserve">Does the project have a detailed, written specification of what the software is supposed to do?</t>
  </si>
  <si>
    <t xml:space="preserve">Did the project team interview people who will actually use the software (end users) early in the project and continue to involve them throughout the project?</t>
  </si>
  <si>
    <t xml:space="preserve">Does the project have a detailed, written Software Development Plan?</t>
  </si>
  <si>
    <t xml:space="preserve">Does the project’s task list include creation of an installation program, conversion of data from previous versions of the system, integration with third-party software, meetings with the customer, and other "minor" tasks?</t>
  </si>
  <si>
    <t xml:space="preserve">Were the schedule and budget estimates officially updated at the end of the most recently completed phase?</t>
  </si>
  <si>
    <t xml:space="preserve">Does the project have detailed, written architecture and design documents?</t>
  </si>
  <si>
    <t xml:space="preserve">Does the project have a detailed, written Quality Assurance Plan that requires design and code reviews in addition to system testing?</t>
  </si>
  <si>
    <t xml:space="preserve"> Does the project have a detailed Staged Delivery Plan for the software, which describes the stages in which the software will be implemented and delivered?</t>
  </si>
  <si>
    <t xml:space="preserve">Does the project’s plan include time for holidays, vacation days, sick days, and ongoing training, and are resources allocated at less than 100 percent?</t>
  </si>
  <si>
    <t xml:space="preserve">Was the project plan, including the schedule, approved by the development team, the quality assurance team, and the technical writing team—in other words, the people responsible for doing the work?</t>
  </si>
  <si>
    <t xml:space="preserve">Project Control</t>
  </si>
  <si>
    <t xml:space="preserve">Has a single key executive who has decision-making authority been made responsible for the project, and does the project have that person’s active support?</t>
  </si>
  <si>
    <t xml:space="preserve">Does the project manager’s workload allow him or her to devote an adequate amount of time to the project?</t>
  </si>
  <si>
    <t xml:space="preserve">Does the project have well-defined, detailed milestones ("binary milestones") that are considered to be either 100 percent done or 100 percent not done?</t>
  </si>
  <si>
    <t xml:space="preserve">Can a project stakeholder easily find out which of these binary milestones have been completed?</t>
  </si>
  <si>
    <t xml:space="preserve">Does the project have a feedback channel by which project members can anonymously report problems to their own managers and upper managers?</t>
  </si>
  <si>
    <t xml:space="preserve">Does the project have a written plan for controlling changes to the software’s specification?</t>
  </si>
  <si>
    <t xml:space="preserve">Does the project have a Change Control Board that has final authority to accept or reject proposed changes?</t>
  </si>
  <si>
    <t xml:space="preserve">Are planning materials and status information for the project—including effort and schedule estimates, task assignments, and progress compared to the plan thus far—available to every team member?</t>
  </si>
  <si>
    <t xml:space="preserve">Is all source code placed under automated revision control?</t>
  </si>
  <si>
    <t xml:space="preserve">Does the project environment include the basic tools needed to complete the project, including defect tracking software, source code control, and project management software?</t>
  </si>
  <si>
    <t xml:space="preserve">Risk Management</t>
  </si>
  <si>
    <t xml:space="preserve">Does the project plan articulate a list of current risks to the project? Has the list been updated recently?</t>
  </si>
  <si>
    <t xml:space="preserve">Does the project have a project risk officer who is responsible for identifying emerging risks to the project?</t>
  </si>
  <si>
    <t xml:space="preserve">If the project uses subcontractors, does it have a plan for managing each subcontract organization and a single person in charge of each one? (Give the project full score if it doesn’t use subcontractors.)</t>
  </si>
  <si>
    <t>Personnel</t>
  </si>
  <si>
    <t xml:space="preserve">Does the project team have all the technical expertise needed to complete the project?</t>
  </si>
  <si>
    <t xml:space="preserve">Does the project team have expertise with the business environment in which the software will operate?</t>
  </si>
  <si>
    <t xml:space="preserve">Does the project have a technical leader capable of leading the project successfully?</t>
  </si>
  <si>
    <t xml:space="preserve">Are there enough people to do all the work required?</t>
  </si>
  <si>
    <t xml:space="preserve">Does everyone work well together?</t>
  </si>
  <si>
    <t xml:space="preserve">Is each person committed to the project?</t>
  </si>
  <si>
    <t>Results</t>
  </si>
  <si>
    <t xml:space="preserve"> </t>
  </si>
  <si>
    <t xml:space="preserve">Preliminary score</t>
  </si>
  <si>
    <t xml:space="preserve">Final score (preliminary score adjusted for team size)</t>
  </si>
  <si>
    <t xml:space="preserve">Chance of Success:</t>
  </si>
  <si>
    <t>Evaluation:</t>
  </si>
  <si>
    <t>Data</t>
  </si>
  <si>
    <t>Poor</t>
  </si>
  <si>
    <t xml:space="preserve">A project with this score has significant weaknesses in the major areas of requirements, planning, project control, risk management, and personnel. The primary concern of a project in this category should be whether it will finish at all.</t>
  </si>
  <si>
    <t>Fair</t>
  </si>
  <si>
    <t xml:space="preserve">This score is typical. A project with this score will likely experience high stress and shaky team dynamics, and the software will ultimately be delivered with less functionality than desired at greater cost and with a longer schedule. This kind of project stands to experience the greatest benefit from applying the plan described in Software Project Survival Guide.</t>
  </si>
  <si>
    <t>Good</t>
  </si>
  <si>
    <t xml:space="preserve">A score in this range represents a better-than-average level of software development effectiveness. Such a project stands a fighting chance of meeting either its schedule or its budget target, but it probably won’t meet both.</t>
  </si>
  <si>
    <t>Excellent</t>
  </si>
  <si>
    <t xml:space="preserve">A project at this level is performing much better than average. Such a project has a high probability of delivering its software close to its schedule, budget, and quality targets.</t>
  </si>
  <si>
    <t>Outstanding</t>
  </si>
  <si>
    <t xml:space="preserve">A project with this score is virtually guaranteed to succeed in all respects, meeting its schedule, budget, quality, and other targets. In terms of Chapter 1’s project needs hierarchy, such a project is fully "self-actualized."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</si>
</sst>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14">
    <font>
      <sz val="9.000000"/>
      <color theme="1"/>
      <name val="Arial"/>
    </font>
    <font>
      <b/>
      <sz val="16.000000"/>
      <name val="Arial"/>
    </font>
    <font>
      <b/>
      <sz val="14.000000"/>
      <name val="Arial"/>
    </font>
    <font>
      <b/>
      <sz val="12.000000"/>
      <name val="Arial"/>
    </font>
    <font>
      <b/>
      <sz val="18.000000"/>
      <name val="Arial"/>
    </font>
    <font>
      <sz val="9.000000"/>
      <name val="Arial"/>
    </font>
    <font>
      <b/>
      <sz val="10.000000"/>
      <name val="Arial"/>
    </font>
    <font>
      <b/>
      <sz val="9.000000"/>
      <color indexed="4"/>
      <name val="Arial"/>
    </font>
    <font>
      <b/>
      <sz val="9.000000"/>
      <color indexed="65"/>
      <name val="Arial"/>
    </font>
    <font>
      <b/>
      <sz val="9.000000"/>
      <name val="Arial"/>
    </font>
    <font>
      <b/>
      <sz val="10.000000"/>
      <color indexed="4"/>
      <name val="Arial"/>
    </font>
    <font>
      <sz val="12.000000"/>
      <name val="Arial"/>
    </font>
    <font>
      <i/>
      <sz val="9.000000"/>
      <name val="Arial"/>
    </font>
    <font>
      <b/>
      <i/>
      <sz val="9.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"/>
      </patternFill>
    </fill>
    <fill>
      <patternFill patternType="solid">
        <fgColor indexed="44"/>
      </patternFill>
    </fill>
  </fills>
  <borders count="27">
    <border>
      <left style="none"/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none"/>
      <bottom style="none"/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medium">
        <color indexed="4"/>
      </left>
      <right style="medium">
        <color indexed="4"/>
      </right>
      <top style="medium">
        <color indexed="4"/>
      </top>
      <bottom style="medium">
        <color indexed="4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9" applyNumberFormat="1" applyFont="1" applyFill="1" applyBorder="1"/>
  </cellStyleXfs>
  <cellXfs count="70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0" applyFont="1"/>
    <xf fontId="0" fillId="0" borderId="0" numFmtId="0" xfId="0" applyAlignment="1">
      <alignment vertical="center"/>
    </xf>
    <xf fontId="5" fillId="0" borderId="1" numFmtId="0" xfId="0" applyFont="1" applyBorder="1" applyAlignment="1">
      <alignment vertical="center" wrapText="1"/>
    </xf>
    <xf fontId="5" fillId="0" borderId="2" numFmtId="0" xfId="0" applyFont="1" applyBorder="1" applyAlignment="1">
      <alignment vertical="center" wrapText="1"/>
    </xf>
    <xf fontId="7" fillId="0" borderId="2" numFmtId="0" xfId="0" applyFont="1" applyBorder="1" applyAlignment="1">
      <alignment vertical="center" wrapText="1"/>
    </xf>
    <xf fontId="8" fillId="2" borderId="2" numFmtId="0" xfId="0" applyFont="1" applyFill="1" applyBorder="1" applyAlignment="1">
      <alignment vertical="center" wrapText="1"/>
    </xf>
    <xf fontId="9" fillId="0" borderId="2" numFmtId="0" xfId="0" applyFont="1" applyBorder="1" applyAlignment="1">
      <alignment vertical="center" wrapText="1"/>
    </xf>
    <xf fontId="5" fillId="0" borderId="3" numFmtId="0" xfId="0" applyFont="1" applyBorder="1" applyAlignment="1">
      <alignment vertical="center" wrapText="1"/>
    </xf>
    <xf fontId="0" fillId="0" borderId="0" numFmtId="0" xfId="0" applyAlignment="1">
      <alignment wrapText="1"/>
    </xf>
    <xf fontId="0" fillId="0" borderId="0" numFmtId="0" xfId="0" applyAlignment="1">
      <alignment vertical="center" wrapText="1"/>
    </xf>
    <xf fontId="10" fillId="0" borderId="4" numFmtId="0" xfId="0" applyFont="1" applyBorder="1" applyAlignment="1">
      <alignment horizontal="center" vertical="center" wrapText="1"/>
    </xf>
    <xf fontId="9" fillId="0" borderId="0" numFmtId="0" xfId="0" applyFont="1"/>
    <xf fontId="0" fillId="0" borderId="0" numFmtId="0" xfId="0" applyProtection="1"/>
    <xf fontId="5" fillId="0" borderId="0" numFmtId="0" xfId="0" applyFont="1" applyProtection="1"/>
    <xf fontId="3" fillId="3" borderId="5" numFmtId="0" xfId="0" applyFont="1" applyFill="1" applyBorder="1" applyAlignment="1">
      <alignment vertical="center"/>
    </xf>
    <xf fontId="3" fillId="3" borderId="6" numFmtId="0" xfId="0" applyFont="1" applyFill="1" applyBorder="1" applyAlignment="1">
      <alignment vertical="center"/>
    </xf>
    <xf fontId="11" fillId="3" borderId="6" numFmtId="0" xfId="0" applyFont="1" applyFill="1" applyBorder="1" applyAlignment="1" applyProtection="1">
      <alignment vertical="center"/>
    </xf>
    <xf fontId="3" fillId="3" borderId="7" numFmtId="0" xfId="0" applyFont="1" applyFill="1" applyBorder="1" applyAlignment="1" applyProtection="1">
      <alignment vertical="center"/>
      <protection locked="0"/>
    </xf>
    <xf fontId="5" fillId="0" borderId="8" numFmtId="0" xfId="0" applyFont="1" applyBorder="1" applyAlignment="1">
      <alignment horizontal="right"/>
    </xf>
    <xf fontId="9" fillId="0" borderId="9" numFmtId="0" xfId="0" applyFont="1" applyBorder="1" applyAlignment="1" applyProtection="1">
      <alignment horizontal="center"/>
      <protection locked="0"/>
    </xf>
    <xf fontId="5" fillId="0" borderId="9" numFmtId="0" xfId="0" applyFont="1" applyBorder="1" applyAlignment="1" applyProtection="1">
      <alignment horizontal="center"/>
    </xf>
    <xf fontId="5" fillId="0" borderId="10" numFmtId="0" xfId="0" applyFont="1" applyBorder="1" applyAlignment="1">
      <alignment wrapText="1"/>
    </xf>
    <xf fontId="5" fillId="0" borderId="11" numFmtId="1" xfId="0" applyNumberFormat="1" applyFont="1" applyBorder="1" applyAlignment="1">
      <alignment horizontal="center"/>
    </xf>
    <xf fontId="5" fillId="0" borderId="12" numFmtId="0" xfId="0" applyFont="1" applyBorder="1" applyAlignment="1" applyProtection="1">
      <alignment horizontal="center"/>
    </xf>
    <xf fontId="0" fillId="0" borderId="13" numFmtId="0" xfId="0" applyBorder="1" applyAlignment="1">
      <alignment wrapText="1"/>
    </xf>
    <xf fontId="5" fillId="0" borderId="14" numFmtId="1" xfId="0" applyNumberFormat="1" applyFont="1" applyBorder="1" applyAlignment="1">
      <alignment horizontal="center"/>
    </xf>
    <xf fontId="9" fillId="0" borderId="15" numFmtId="0" xfId="0" applyFont="1" applyBorder="1" applyAlignment="1" applyProtection="1">
      <alignment horizontal="center"/>
      <protection locked="0"/>
    </xf>
    <xf fontId="5" fillId="0" borderId="0" numFmtId="0" xfId="0" applyFont="1" applyAlignment="1" applyProtection="1">
      <alignment horizontal="center"/>
    </xf>
    <xf fontId="0" fillId="0" borderId="16" numFmtId="0" xfId="0" applyBorder="1" applyAlignment="1">
      <alignment wrapText="1"/>
    </xf>
    <xf fontId="5" fillId="0" borderId="17" numFmtId="1" xfId="0" applyNumberFormat="1" applyFont="1" applyBorder="1" applyAlignment="1">
      <alignment horizontal="center"/>
    </xf>
    <xf fontId="5" fillId="0" borderId="15" numFmtId="0" xfId="0" applyFont="1" applyBorder="1" applyAlignment="1" applyProtection="1">
      <alignment horizontal="center"/>
    </xf>
    <xf fontId="0" fillId="0" borderId="18" numFmtId="0" xfId="0" applyBorder="1" applyAlignment="1">
      <alignment wrapText="1"/>
    </xf>
    <xf fontId="9" fillId="0" borderId="0" numFmtId="0" xfId="0" applyFont="1" applyAlignment="1">
      <alignment horizontal="center"/>
    </xf>
    <xf fontId="5" fillId="0" borderId="11" numFmtId="0" xfId="0" applyFont="1" applyBorder="1" applyAlignment="1">
      <alignment horizontal="center"/>
    </xf>
    <xf fontId="5" fillId="0" borderId="14" numFmtId="0" xfId="0" applyFont="1" applyBorder="1" applyAlignment="1">
      <alignment horizontal="center"/>
    </xf>
    <xf fontId="5" fillId="0" borderId="17" numFmtId="0" xfId="0" applyFont="1" applyBorder="1" applyAlignment="1">
      <alignment horizontal="center"/>
    </xf>
    <xf fontId="9" fillId="0" borderId="12" numFmtId="0" xfId="0" applyFont="1" applyBorder="1" applyAlignment="1" applyProtection="1">
      <alignment horizontal="center"/>
      <protection locked="0"/>
    </xf>
    <xf fontId="9" fillId="0" borderId="0" numFmtId="0" xfId="0" applyFont="1" applyAlignment="1" applyProtection="1">
      <alignment horizontal="center"/>
      <protection locked="0"/>
    </xf>
    <xf fontId="12" fillId="0" borderId="0" numFmtId="0" xfId="0" applyFont="1"/>
    <xf fontId="3" fillId="0" borderId="19" numFmtId="0" xfId="0" applyFont="1" applyBorder="1"/>
    <xf fontId="9" fillId="0" borderId="20" numFmtId="0" xfId="0" applyFont="1" applyBorder="1" applyAlignment="1">
      <alignment horizontal="center"/>
    </xf>
    <xf fontId="5" fillId="0" borderId="20" numFmtId="0" xfId="0" applyFont="1" applyBorder="1" applyAlignment="1" applyProtection="1">
      <alignment horizontal="center"/>
    </xf>
    <xf fontId="0" fillId="0" borderId="21" numFmtId="0" xfId="0" applyBorder="1"/>
    <xf fontId="12" fillId="0" borderId="22" numFmtId="0" xfId="0" applyFont="1" applyBorder="1"/>
    <xf fontId="9" fillId="0" borderId="23" numFmtId="0" xfId="0" applyFont="1" applyBorder="1" applyAlignment="1">
      <alignment wrapText="1"/>
    </xf>
    <xf fontId="0" fillId="0" borderId="23" numFmtId="0" xfId="0" applyBorder="1"/>
    <xf fontId="13" fillId="0" borderId="22" numFmtId="0" xfId="0" applyFont="1" applyBorder="1"/>
    <xf fontId="9" fillId="0" borderId="23" numFmtId="0" xfId="0" applyFont="1" applyBorder="1" applyAlignment="1">
      <alignment horizontal="left"/>
    </xf>
    <xf fontId="13" fillId="0" borderId="24" numFmtId="0" xfId="0" applyFont="1" applyBorder="1" applyAlignment="1">
      <alignment vertical="top"/>
    </xf>
    <xf fontId="9" fillId="0" borderId="25" numFmtId="0" xfId="0" applyFont="1" applyBorder="1"/>
    <xf fontId="5" fillId="0" borderId="25" numFmtId="0" xfId="0" applyFont="1" applyBorder="1" applyProtection="1"/>
    <xf fontId="5" fillId="0" borderId="26" numFmtId="0" xfId="0" applyFont="1" applyBorder="1" applyAlignment="1">
      <alignment horizontal="left" vertical="top" wrapText="1"/>
    </xf>
    <xf fontId="9" fillId="0" borderId="11" numFmtId="0" xfId="0" applyFont="1" applyBorder="1" applyAlignment="1">
      <alignment horizontal="center" vertical="top"/>
    </xf>
    <xf fontId="9" fillId="0" borderId="12" numFmtId="0" xfId="0" applyFont="1" applyBorder="1" applyAlignment="1">
      <alignment vertical="top"/>
    </xf>
    <xf fontId="0" fillId="0" borderId="12" numFmtId="0" xfId="0" applyBorder="1" applyAlignment="1">
      <alignment vertical="top"/>
    </xf>
    <xf fontId="0" fillId="0" borderId="13" numFmtId="0" xfId="0" applyBorder="1" applyAlignment="1">
      <alignment vertical="top" wrapText="1"/>
    </xf>
    <xf fontId="9" fillId="0" borderId="14" numFmtId="0" xfId="0" applyFont="1" applyBorder="1" applyAlignment="1">
      <alignment horizontal="center" vertical="top"/>
    </xf>
    <xf fontId="9" fillId="0" borderId="0" numFmtId="0" xfId="0" applyFont="1" applyAlignment="1">
      <alignment vertical="top"/>
    </xf>
    <xf fontId="0" fillId="0" borderId="0" numFmtId="0" xfId="0" applyAlignment="1">
      <alignment vertical="top"/>
    </xf>
    <xf fontId="0" fillId="0" borderId="16" numFmtId="0" xfId="0" applyBorder="1" applyAlignment="1">
      <alignment vertical="top" wrapText="1"/>
    </xf>
    <xf fontId="9" fillId="0" borderId="17" numFmtId="0" xfId="0" applyFont="1" applyBorder="1" applyAlignment="1">
      <alignment horizontal="center" vertical="top"/>
    </xf>
    <xf fontId="9" fillId="0" borderId="15" numFmtId="0" xfId="0" applyFont="1" applyBorder="1" applyAlignment="1">
      <alignment vertical="top"/>
    </xf>
    <xf fontId="0" fillId="0" borderId="15" numFmtId="0" xfId="0" applyBorder="1" applyAlignment="1">
      <alignment vertical="top"/>
    </xf>
    <xf fontId="0" fillId="0" borderId="18" numFmtId="0" xfId="0" applyBorder="1" applyAlignment="1">
      <alignment vertical="top" wrapText="1"/>
    </xf>
  </cellXfs>
  <cellStyles count="6">
    <cellStyle name="Comma" xfId="1" builtinId="3"/>
    <cellStyle name="Comma [0]" xfId="2" builtinId="6"/>
    <cellStyle name="Currency" xfId="3" builtinId="4"/>
    <cellStyle name="Currency[0]" xfId="4" builtinId="7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0" activeCellId="0" sqref="B10"/>
    </sheetView>
  </sheetViews>
  <sheetFormatPr baseColWidth="10" defaultRowHeight="12" customHeight="1"/>
  <cols>
    <col customWidth="1" min="1" max="1" width="3.7109399999999999"/>
    <col customWidth="1" min="2" max="2" width="87.285200000000003"/>
    <col customWidth="1" min="3" max="257" width="9.1406200000000002"/>
  </cols>
  <sheetData>
    <row r="1" ht="19.5">
      <c r="A1" s="1"/>
    </row>
    <row r="2" ht="16.5">
      <c r="A2" s="2" t="s">
        <v>0</v>
      </c>
    </row>
    <row r="3" ht="15">
      <c r="A3" s="3" t="s">
        <v>1</v>
      </c>
    </row>
    <row r="6" ht="21.75">
      <c r="A6" s="4" t="s">
        <v>2</v>
      </c>
      <c r="C6" s="5"/>
    </row>
    <row r="7" ht="12.75">
      <c r="B7" s="6"/>
    </row>
    <row r="8" s="7" customFormat="1" ht="15" customHeight="1">
      <c r="B8" s="8" t="s">
        <v>3</v>
      </c>
    </row>
    <row r="9" s="7" customFormat="1" ht="15" customHeight="1">
      <c r="B9" s="9" t="s">
        <v>4</v>
      </c>
    </row>
    <row r="10" s="7" customFormat="1" ht="22.5">
      <c r="B10" s="9" t="s">
        <v>5</v>
      </c>
    </row>
    <row r="11" s="7" customFormat="1" ht="15" customHeight="1">
      <c r="B11" s="9" t="s">
        <v>6</v>
      </c>
    </row>
    <row r="12" s="7" customFormat="1" ht="15" customHeight="1">
      <c r="B12" s="9" t="s">
        <v>7</v>
      </c>
    </row>
    <row r="13" s="7" customFormat="1" ht="15" customHeight="1">
      <c r="B13" s="9" t="s">
        <v>8</v>
      </c>
    </row>
    <row r="14" s="7" customFormat="1" ht="15" customHeight="1">
      <c r="B14" s="10" t="s">
        <v>9</v>
      </c>
    </row>
    <row r="15" s="7" customFormat="1" ht="15" customHeight="1">
      <c r="B15" s="11" t="s">
        <v>10</v>
      </c>
      <c r="C15" s="7"/>
      <c r="D15" s="7"/>
      <c r="E15" s="7"/>
      <c r="F15" s="7"/>
      <c r="G15" s="7"/>
      <c r="H15" s="7"/>
      <c r="I15" s="7"/>
      <c r="J15" s="7"/>
      <c r="K15" s="7"/>
    </row>
    <row r="16" s="7" customFormat="1" ht="15" customHeight="1">
      <c r="B16" s="12" t="s">
        <v>11</v>
      </c>
    </row>
    <row r="17" s="7" customFormat="1" ht="22.5">
      <c r="B17" s="13" t="s">
        <v>12</v>
      </c>
    </row>
    <row r="18" ht="13.5">
      <c r="B18" s="14"/>
    </row>
    <row r="19" s="15" customFormat="1" ht="21" customHeight="1">
      <c r="B19" s="16" t="s">
        <v>13</v>
      </c>
    </row>
  </sheetData>
  <sheetProtection password="C101" autoFilter="0" deleteColumns="1" deleteRows="1" formatCells="0" formatColumns="1" formatRows="1" insertColumns="1" insertHyperlinks="1" insertRows="1" objects="1" pivotTables="1" scenarios="1" selectLockedCells="1" selectUnlockedCells="0" sheet="1" sort="1"/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5" activeCellId="0" sqref="A45"/>
    </sheetView>
  </sheetViews>
  <sheetFormatPr baseColWidth="10" defaultRowHeight="12" customHeight="1"/>
  <cols>
    <col customWidth="1" min="1" max="1" style="17" width="9"/>
    <col customWidth="1" min="2" max="2" style="17" width="10"/>
    <col customWidth="1" hidden="1" min="3" max="3" style="18" width="9.4257799999999996"/>
    <col customWidth="1" min="4" max="4" width="71.710899999999995"/>
    <col customWidth="1" min="5" max="257" width="9.1406200000000002"/>
  </cols>
  <sheetData>
    <row r="1" ht="19.5">
      <c r="A1" s="1"/>
    </row>
    <row r="2" ht="16.5">
      <c r="A2" s="2" t="s">
        <v>0</v>
      </c>
    </row>
    <row r="3" ht="15">
      <c r="A3" s="3" t="s">
        <v>1</v>
      </c>
    </row>
    <row r="4" ht="12"/>
    <row r="5" ht="21.75">
      <c r="A5" s="4" t="s">
        <v>14</v>
      </c>
      <c r="B5" s="4"/>
    </row>
    <row r="6" ht="12" customHeight="1">
      <c r="A6" s="5"/>
      <c r="B6" s="5"/>
      <c r="C6" s="19"/>
      <c r="D6" s="5"/>
    </row>
    <row r="7" ht="22.149999999999999" customHeight="1">
      <c r="A7" s="20" t="s">
        <v>15</v>
      </c>
      <c r="B7" s="21"/>
      <c r="C7" s="22"/>
      <c r="D7" s="23" t="s">
        <v>16</v>
      </c>
    </row>
    <row r="8" s="5" customFormat="1">
      <c r="C8" s="19"/>
    </row>
    <row r="9" s="5" customFormat="1" ht="24" customHeight="1">
      <c r="A9" s="6" t="s">
        <v>17</v>
      </c>
      <c r="C9" s="19"/>
    </row>
    <row r="10" s="5" customFormat="1" ht="22.5">
      <c r="A10" s="24"/>
      <c r="B10" s="25">
        <v>7</v>
      </c>
      <c r="C10" s="26">
        <f>IF(ISNUMBER(B10),IF(B10&gt;=0,B10,0),0)</f>
        <v>7</v>
      </c>
      <c r="D10" s="27" t="s">
        <v>18</v>
      </c>
    </row>
    <row r="11" s="5" customFormat="1">
      <c r="C11" s="19"/>
    </row>
    <row r="12" ht="19.899999999999999" customHeight="1">
      <c r="A12" s="6" t="s">
        <v>19</v>
      </c>
      <c r="C12" s="19"/>
    </row>
    <row r="13" ht="12">
      <c r="A13" s="28">
        <v>1</v>
      </c>
      <c r="B13" s="25">
        <v>3</v>
      </c>
      <c r="C13" s="29">
        <f t="shared" ref="C13:C48" si="0">IF(ISNUMBER(B13),IF(B13&lt;0,0,IF(B13&gt;3,3,B13)),0)</f>
        <v>3</v>
      </c>
      <c r="D13" s="30" t="s">
        <v>20</v>
      </c>
    </row>
    <row r="14" ht="12">
      <c r="A14" s="31">
        <v>2</v>
      </c>
      <c r="B14" s="32">
        <v>3</v>
      </c>
      <c r="C14" s="33">
        <f t="shared" si="0"/>
        <v>3</v>
      </c>
      <c r="D14" s="34" t="s">
        <v>21</v>
      </c>
    </row>
    <row r="15" ht="22.5">
      <c r="A15" s="31">
        <v>3</v>
      </c>
      <c r="B15" s="32">
        <v>3</v>
      </c>
      <c r="C15" s="33">
        <f t="shared" si="0"/>
        <v>3</v>
      </c>
      <c r="D15" s="34" t="s">
        <v>22</v>
      </c>
    </row>
    <row r="16" ht="22.5">
      <c r="A16" s="31">
        <v>4</v>
      </c>
      <c r="B16" s="32">
        <v>3</v>
      </c>
      <c r="C16" s="33">
        <f t="shared" si="0"/>
        <v>3</v>
      </c>
      <c r="D16" s="34" t="s">
        <v>23</v>
      </c>
    </row>
    <row r="17" ht="22.5">
      <c r="A17" s="31">
        <v>5</v>
      </c>
      <c r="B17" s="32">
        <v>3</v>
      </c>
      <c r="C17" s="33">
        <f t="shared" si="0"/>
        <v>3</v>
      </c>
      <c r="D17" s="34" t="s">
        <v>24</v>
      </c>
    </row>
    <row r="18" ht="22.5">
      <c r="A18" s="31">
        <v>6</v>
      </c>
      <c r="B18" s="32">
        <v>0</v>
      </c>
      <c r="C18" s="33">
        <f t="shared" si="0"/>
        <v>0</v>
      </c>
      <c r="D18" s="34" t="s">
        <v>25</v>
      </c>
    </row>
    <row r="19" ht="12">
      <c r="A19" s="31">
        <v>7</v>
      </c>
      <c r="B19" s="32">
        <v>3</v>
      </c>
      <c r="C19" s="33">
        <f t="shared" si="0"/>
        <v>3</v>
      </c>
      <c r="D19" s="34" t="s">
        <v>26</v>
      </c>
    </row>
    <row r="20" ht="33.75">
      <c r="A20" s="31">
        <v>8</v>
      </c>
      <c r="B20" s="32">
        <v>1</v>
      </c>
      <c r="C20" s="33">
        <f t="shared" si="0"/>
        <v>1</v>
      </c>
      <c r="D20" s="34" t="s">
        <v>27</v>
      </c>
    </row>
    <row r="21" ht="22.5">
      <c r="A21" s="31">
        <v>9</v>
      </c>
      <c r="B21" s="32">
        <v>0</v>
      </c>
      <c r="C21" s="33">
        <f t="shared" si="0"/>
        <v>0</v>
      </c>
      <c r="D21" s="34" t="s">
        <v>28</v>
      </c>
    </row>
    <row r="22" ht="12">
      <c r="A22" s="31">
        <v>10</v>
      </c>
      <c r="B22" s="32">
        <v>3</v>
      </c>
      <c r="C22" s="33">
        <f t="shared" si="0"/>
        <v>3</v>
      </c>
      <c r="D22" s="34" t="s">
        <v>29</v>
      </c>
    </row>
    <row r="23" ht="22.5">
      <c r="A23" s="31">
        <v>11</v>
      </c>
      <c r="B23" s="32">
        <v>3</v>
      </c>
      <c r="C23" s="33">
        <f t="shared" si="0"/>
        <v>3</v>
      </c>
      <c r="D23" s="34" t="s">
        <v>30</v>
      </c>
    </row>
    <row r="24" ht="22.5">
      <c r="A24" s="31">
        <v>12</v>
      </c>
      <c r="B24" s="32">
        <v>3</v>
      </c>
      <c r="C24" s="33">
        <f t="shared" si="0"/>
        <v>3</v>
      </c>
      <c r="D24" s="34" t="s">
        <v>31</v>
      </c>
    </row>
    <row r="25" ht="22.5">
      <c r="A25" s="31">
        <v>13</v>
      </c>
      <c r="B25" s="32"/>
      <c r="C25" s="33">
        <f t="shared" si="0"/>
        <v>0</v>
      </c>
      <c r="D25" s="34" t="s">
        <v>32</v>
      </c>
    </row>
    <row r="26" ht="33.75">
      <c r="A26" s="35">
        <v>14</v>
      </c>
      <c r="B26" s="32"/>
      <c r="C26" s="36">
        <f t="shared" si="0"/>
        <v>0</v>
      </c>
      <c r="D26" s="37" t="s">
        <v>33</v>
      </c>
    </row>
    <row r="27" ht="27.600000000000001" customHeight="1">
      <c r="A27" s="6" t="s">
        <v>34</v>
      </c>
      <c r="B27" s="38"/>
      <c r="C27" s="33"/>
      <c r="D27" s="6"/>
    </row>
    <row r="28" ht="22.5">
      <c r="A28" s="39">
        <v>15</v>
      </c>
      <c r="B28" s="25">
        <v>3</v>
      </c>
      <c r="C28" s="29">
        <f t="shared" si="0"/>
        <v>3</v>
      </c>
      <c r="D28" s="30" t="s">
        <v>35</v>
      </c>
    </row>
    <row r="29" ht="22.5">
      <c r="A29" s="40">
        <v>16</v>
      </c>
      <c r="B29" s="32">
        <v>3</v>
      </c>
      <c r="C29" s="33">
        <f t="shared" si="0"/>
        <v>3</v>
      </c>
      <c r="D29" s="34" t="s">
        <v>36</v>
      </c>
    </row>
    <row r="30" ht="22.5">
      <c r="A30" s="40">
        <v>17</v>
      </c>
      <c r="B30" s="32">
        <v>2</v>
      </c>
      <c r="C30" s="33">
        <f t="shared" si="0"/>
        <v>2</v>
      </c>
      <c r="D30" s="34" t="s">
        <v>37</v>
      </c>
    </row>
    <row r="31" ht="22.5">
      <c r="A31" s="40">
        <v>18</v>
      </c>
      <c r="B31" s="32">
        <v>2</v>
      </c>
      <c r="C31" s="33">
        <f t="shared" si="0"/>
        <v>2</v>
      </c>
      <c r="D31" s="34" t="s">
        <v>38</v>
      </c>
    </row>
    <row r="32" ht="22.5">
      <c r="A32" s="40">
        <v>19</v>
      </c>
      <c r="B32" s="32">
        <v>1</v>
      </c>
      <c r="C32" s="33">
        <f t="shared" si="0"/>
        <v>1</v>
      </c>
      <c r="D32" s="34" t="s">
        <v>39</v>
      </c>
    </row>
    <row r="33" ht="24">
      <c r="A33" s="40">
        <v>20</v>
      </c>
      <c r="B33" s="32">
        <v>3</v>
      </c>
      <c r="C33" s="33">
        <f t="shared" si="0"/>
        <v>3</v>
      </c>
      <c r="D33" s="34" t="s">
        <v>40</v>
      </c>
    </row>
    <row r="34" ht="22.5">
      <c r="A34" s="40">
        <v>21</v>
      </c>
      <c r="B34" s="32">
        <v>3</v>
      </c>
      <c r="C34" s="33">
        <f t="shared" si="0"/>
        <v>3</v>
      </c>
      <c r="D34" s="34" t="s">
        <v>41</v>
      </c>
    </row>
    <row r="35" ht="33.75">
      <c r="A35" s="40">
        <v>22</v>
      </c>
      <c r="B35" s="32">
        <v>3</v>
      </c>
      <c r="C35" s="33">
        <f t="shared" si="0"/>
        <v>3</v>
      </c>
      <c r="D35" s="34" t="s">
        <v>42</v>
      </c>
    </row>
    <row r="36" ht="12">
      <c r="A36" s="40">
        <v>23</v>
      </c>
      <c r="B36" s="32">
        <v>3</v>
      </c>
      <c r="C36" s="33">
        <f t="shared" si="0"/>
        <v>3</v>
      </c>
      <c r="D36" s="34" t="s">
        <v>43</v>
      </c>
    </row>
    <row r="37" ht="22.5">
      <c r="A37" s="41">
        <v>24</v>
      </c>
      <c r="B37" s="32">
        <v>3</v>
      </c>
      <c r="C37" s="36">
        <f t="shared" si="0"/>
        <v>3</v>
      </c>
      <c r="D37" s="37" t="s">
        <v>44</v>
      </c>
    </row>
    <row r="38" ht="19.899999999999999" customHeight="1">
      <c r="A38" s="6" t="s">
        <v>45</v>
      </c>
      <c r="B38" s="38"/>
      <c r="C38" s="33"/>
      <c r="D38" s="6"/>
    </row>
    <row r="39" ht="22.5">
      <c r="A39" s="39">
        <v>25</v>
      </c>
      <c r="B39" s="42">
        <v>3</v>
      </c>
      <c r="C39" s="29">
        <f t="shared" si="0"/>
        <v>3</v>
      </c>
      <c r="D39" s="30" t="s">
        <v>46</v>
      </c>
    </row>
    <row r="40" ht="22.5">
      <c r="A40" s="40">
        <v>26</v>
      </c>
      <c r="B40" s="43">
        <v>3</v>
      </c>
      <c r="C40" s="33">
        <f t="shared" si="0"/>
        <v>3</v>
      </c>
      <c r="D40" s="34" t="s">
        <v>47</v>
      </c>
    </row>
    <row r="41" ht="33.75">
      <c r="A41" s="41">
        <v>27</v>
      </c>
      <c r="B41" s="32">
        <v>0</v>
      </c>
      <c r="C41" s="36">
        <f t="shared" si="0"/>
        <v>0</v>
      </c>
      <c r="D41" s="37" t="s">
        <v>48</v>
      </c>
    </row>
    <row r="42" ht="19.899999999999999" customHeight="1">
      <c r="A42" s="6" t="s">
        <v>49</v>
      </c>
      <c r="B42" s="38"/>
      <c r="C42" s="33"/>
    </row>
    <row r="43" ht="12">
      <c r="A43" s="39">
        <v>28</v>
      </c>
      <c r="B43" s="25">
        <v>2</v>
      </c>
      <c r="C43" s="29">
        <f t="shared" si="0"/>
        <v>2</v>
      </c>
      <c r="D43" s="30" t="s">
        <v>50</v>
      </c>
    </row>
    <row r="44" ht="22.5">
      <c r="A44" s="40">
        <v>29</v>
      </c>
      <c r="B44" s="32">
        <v>1</v>
      </c>
      <c r="C44" s="33">
        <f t="shared" si="0"/>
        <v>1</v>
      </c>
      <c r="D44" s="34" t="s">
        <v>51</v>
      </c>
    </row>
    <row r="45" ht="12">
      <c r="A45" s="40">
        <v>30</v>
      </c>
      <c r="B45" s="32">
        <v>2</v>
      </c>
      <c r="C45" s="33">
        <f t="shared" si="0"/>
        <v>2</v>
      </c>
      <c r="D45" s="34" t="s">
        <v>52</v>
      </c>
    </row>
    <row r="46" ht="12">
      <c r="A46" s="40">
        <v>31</v>
      </c>
      <c r="B46" s="32">
        <v>3</v>
      </c>
      <c r="C46" s="33">
        <f t="shared" si="0"/>
        <v>3</v>
      </c>
      <c r="D46" s="34" t="s">
        <v>53</v>
      </c>
    </row>
    <row r="47" ht="12">
      <c r="A47" s="40">
        <v>32</v>
      </c>
      <c r="B47" s="32">
        <v>3</v>
      </c>
      <c r="C47" s="33">
        <f t="shared" si="0"/>
        <v>3</v>
      </c>
      <c r="D47" s="34" t="s">
        <v>54</v>
      </c>
    </row>
    <row r="48" ht="12">
      <c r="A48" s="41">
        <v>33</v>
      </c>
      <c r="B48" s="32">
        <v>3</v>
      </c>
      <c r="C48" s="36">
        <f t="shared" si="0"/>
        <v>3</v>
      </c>
      <c r="D48" s="37" t="s">
        <v>55</v>
      </c>
    </row>
    <row r="49" ht="12.75">
      <c r="A49" s="44"/>
      <c r="B49" s="38"/>
      <c r="C49" s="33"/>
      <c r="D49" s="14"/>
    </row>
    <row r="50" ht="19.899999999999999" customHeight="1">
      <c r="A50" s="45" t="s">
        <v>56</v>
      </c>
      <c r="B50" s="46"/>
      <c r="C50" s="47"/>
      <c r="D50" s="48"/>
    </row>
    <row r="51" ht="12">
      <c r="A51" s="49" t="s">
        <v>57</v>
      </c>
      <c r="B51" s="38">
        <f>SUM(C13:C50)</f>
        <v>74</v>
      </c>
      <c r="C51" s="33"/>
      <c r="D51" s="50" t="s">
        <v>58</v>
      </c>
    </row>
    <row r="52" ht="12">
      <c r="A52" s="49" t="s">
        <v>57</v>
      </c>
      <c r="B52" s="38">
        <f>PreliminaryScore*IF(TeamSize=0,1,IF(TeamSize&lt;=3,1.5,IF(TeamSize&lt;=6,1.25,1)))</f>
        <v>74</v>
      </c>
      <c r="C52" s="33"/>
      <c r="D52" s="50" t="s">
        <v>59</v>
      </c>
    </row>
    <row r="53" ht="12">
      <c r="A53" s="49"/>
      <c r="B53" s="17"/>
      <c r="C53" s="19"/>
      <c r="D53" s="51"/>
    </row>
    <row r="54" ht="12">
      <c r="A54" s="52" t="s">
        <v>60</v>
      </c>
      <c r="B54" s="17"/>
      <c r="C54" s="19"/>
      <c r="D54" s="53" t="str">
        <f>LOOKUP(FinalScore,'Background Data'!A6:A10,'Background Data'!B6:B10)</f>
        <v>Good</v>
      </c>
    </row>
    <row r="55" ht="33.75">
      <c r="A55" s="54" t="s">
        <v>61</v>
      </c>
      <c r="B55" s="55"/>
      <c r="C55" s="56"/>
      <c r="D55" s="57" t="str">
        <f>LOOKUP(FinalScore,'Background Data'!A6:A10,'Background Data'!D6:D10)</f>
        <v xml:space="preserve">A score in this range represents a better-than-average level of software development effectiveness. Such a project stands a fighting chance of meeting either its schedule or its budget target, but it probably won’t meet both.</v>
      </c>
    </row>
  </sheetData>
  <sheetProtection password="C101" autoFilter="0" deleteColumns="1" deleteRows="1" formatCells="0" formatColumns="1" formatRows="1" insertColumns="1" insertHyperlinks="1" insertRows="1" objects="1" pivotTables="1" scenarios="1" selectLockedCells="1" selectUnlockedCells="0" sheet="1" sort="1"/>
  <printOptions headings="0" gridLines="0"/>
  <pageMargins left="0.75" right="0.75" top="1" bottom="1" header="0.5" footer="0.5"/>
  <pageSetup paperSize="1" scale="90" firstPageNumber="1" fitToWidth="1" fitToHeight="9" pageOrder="downThenOver" orientation="portrait" usePrinterDefaults="1" blackAndWhite="0" draft="0" cellComments="none" useFirstPageNumber="0" errors="displayed" horizontalDpi="600" verticalDpi="600" copies="1"/>
  <headerFooter>
    <oddHeader>&amp;L&amp;"Arial,Bold Italic"&amp;10Software Project Survival Guide
&amp;"Arial,Bold"&amp;8Survival Guide Website: www.construx.com/survivalguide/&amp;R&amp;8Page &amp;P of &amp;N</oddHeader>
    <oddFooter>&amp;L&amp;6(c) 1997-1998 Steven C. McConnell. All Rights Reserved. &amp;C&amp;8&amp;F&amp;R&amp;8&amp;D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27005D-00C3-4924-8815-00F600E30050}">
            <xm:f>Answers=""</xm:f>
            <x14:dxf>
              <font>
                <color indexed="4"/>
              </font>
            </x14:dxf>
          </x14:cfRule>
          <xm:sqref>D11:D12</xm:sqref>
        </x14:conditionalFormatting>
        <x14:conditionalFormatting xmlns:xm="http://schemas.microsoft.com/office/excel/2006/main">
          <x14:cfRule type="expression" priority="2" stopIfTrue="1" id="{00C60084-00A0-4AA1-A9EF-005F0093000C}">
            <xm:f>OR(Answers&lt;0,Answers&gt;3)</xm:f>
            <x14:dxf>
              <font>
                <color indexed="2"/>
              </font>
            </x14:dxf>
          </x14:cfRule>
          <xm:sqref>D11:D12</xm:sqref>
        </x14:conditionalFormatting>
        <x14:conditionalFormatting xmlns:xm="http://schemas.microsoft.com/office/excel/2006/main">
          <x14:cfRule type="expression" priority="3" stopIfTrue="1" id="{00E90011-00F3-40B2-9D78-00E000A00038}">
            <xm:f>B43=""</xm:f>
            <x14:dxf>
              <font>
                <color indexed="4"/>
              </font>
            </x14:dxf>
          </x14:cfRule>
          <xm:sqref>D43:D49 D39:D41 D13:D26 D28:D37</xm:sqref>
        </x14:conditionalFormatting>
        <x14:conditionalFormatting xmlns:xm="http://schemas.microsoft.com/office/excel/2006/main">
          <x14:cfRule type="expression" priority="4" stopIfTrue="1" id="{007A004E-004C-462A-B32A-00CA00F60026}">
            <xm:f>OR(B43&lt;0,B43&gt;3)</xm:f>
            <x14:dxf>
              <font>
                <color indexed="2"/>
              </font>
            </x14:dxf>
          </x14:cfRule>
          <xm:sqref>D43:D49 D39:D41 D13:D26 D28:D37</xm:sqref>
        </x14:conditionalFormatting>
        <x14:conditionalFormatting xmlns:xm="http://schemas.microsoft.com/office/excel/2006/main">
          <x14:cfRule type="cellIs" priority="5" operator="lessThan" stopIfTrue="1" id="{0013007C-00DC-4607-820D-007F00440030}">
            <xm:f>0</xm:f>
            <x14:dxf>
              <font>
                <color indexed="2"/>
              </font>
            </x14:dxf>
          </x14:cfRule>
          <xm:sqref>B49</xm:sqref>
        </x14:conditionalFormatting>
        <x14:conditionalFormatting xmlns:xm="http://schemas.microsoft.com/office/excel/2006/main">
          <x14:cfRule type="cellIs" priority="6" operator="greaterThan" stopIfTrue="1" id="{00B400D7-00EA-457B-8490-006600DB006F}">
            <xm:f>3</xm:f>
            <x14:dxf>
              <font>
                <color indexed="2"/>
              </font>
            </x14:dxf>
          </x14:cfRule>
          <xm:sqref>B49</xm:sqref>
        </x14:conditionalFormatting>
        <x14:conditionalFormatting xmlns:xm="http://schemas.microsoft.com/office/excel/2006/main">
          <x14:cfRule type="expression" priority="7" stopIfTrue="1" id="{00D00026-0089-45AA-9188-007800B7008B}">
            <xm:f>B10=""</xm:f>
            <x14:dxf>
              <font>
                <color indexed="4"/>
              </font>
            </x14:dxf>
          </x14:cfRule>
          <xm:sqref>D10</xm:sqref>
        </x14:conditionalFormatting>
        <x14:conditionalFormatting xmlns:xm="http://schemas.microsoft.com/office/excel/2006/main">
          <x14:cfRule type="expression" priority="8" stopIfTrue="1" id="{006C0024-00D6-413C-BAA0-008800F00080}">
            <xm:f>OR(B10&lt;0)</xm:f>
            <x14:dxf>
              <font>
                <color indexed="2"/>
              </font>
            </x14:dxf>
          </x14:cfRule>
          <xm:sqref>D10</xm:sqref>
        </x14:conditionalFormatting>
        <x14:conditionalFormatting xmlns:xm="http://schemas.microsoft.com/office/excel/2006/main">
          <x14:cfRule type="cellIs" priority="9" operator="lessThan" stopIfTrue="1" id="{00EE0035-003D-4F7F-BBBD-00C100A3001A}">
            <xm:f>0</xm:f>
            <x14:dxf>
              <font>
                <b/>
                <i val="0"/>
                <color indexed="65"/>
              </font>
              <fill>
                <patternFill patternType="solid">
                  <fgColor indexed="2"/>
                  <bgColor indexed="2"/>
                </patternFill>
              </fill>
              <border>
                <left style="none"/>
                <right style="none"/>
                <top style="none"/>
                <bottom style="thin">
                  <color indexed="2"/>
                </bottom>
                <diagonal style="none"/>
              </border>
            </x14:dxf>
          </x14:cfRule>
          <xm:sqref>B13:B26 B28:B37 B39:B41 B43:B48</xm:sqref>
        </x14:conditionalFormatting>
        <x14:conditionalFormatting xmlns:xm="http://schemas.microsoft.com/office/excel/2006/main">
          <x14:cfRule type="cellIs" priority="10" operator="greaterThan" stopIfTrue="1" id="{00110047-00D6-4B86-9220-00FF009B0018}">
            <xm:f>3</xm:f>
            <x14:dxf>
              <font>
                <b/>
                <i val="0"/>
                <color indexed="65"/>
              </font>
              <fill>
                <patternFill patternType="solid">
                  <fgColor indexed="2"/>
                  <bgColor indexed="2"/>
                </patternFill>
              </fill>
              <border>
                <left style="none"/>
                <right style="none"/>
                <top style="none"/>
                <bottom style="thin">
                  <color indexed="2"/>
                </bottom>
                <diagonal style="none"/>
              </border>
            </x14:dxf>
          </x14:cfRule>
          <xm:sqref>B13:B26 B28:B37 B39:B41 B43:B48</xm:sqref>
        </x14:conditionalFormatting>
        <x14:conditionalFormatting xmlns:xm="http://schemas.microsoft.com/office/excel/2006/main">
          <x14:cfRule type="cellIs" priority="11" operator="equal" stopIfTrue="1" id="{00C90007-0074-4B49-A7CE-004E00BF008D}">
            <xm:f>""</xm:f>
            <x14:dxf>
              <border>
                <left style="none"/>
                <right style="none"/>
                <top style="none"/>
                <bottom style="thin">
                  <color indexed="4"/>
                </bottom>
                <diagonal style="none"/>
              </border>
            </x14:dxf>
          </x14:cfRule>
          <xm:sqref>B13:B26 B28:B37 B39:B41 B43:B48</xm:sqref>
        </x14:conditionalFormatting>
        <x14:conditionalFormatting xmlns:xm="http://schemas.microsoft.com/office/excel/2006/main">
          <x14:cfRule type="cellIs" priority="12" operator="equal" stopIfTrue="1" id="{0081000D-0097-4766-831C-007300900064}">
            <xm:f>"[Project]"</xm:f>
            <x14:dxf>
              <font>
                <color indexed="4"/>
              </font>
            </x14:dxf>
          </x14:cfRule>
          <xm:sqref>D7</xm:sqref>
        </x14:conditionalFormatting>
        <x14:conditionalFormatting xmlns:xm="http://schemas.microsoft.com/office/excel/2006/main">
          <x14:cfRule type="cellIs" priority="13" operator="lessThan" stopIfTrue="1" id="{002300A9-00D8-4E0B-A458-00A300CE003B}">
            <xm:f>0</xm:f>
            <x14:dxf>
              <font>
                <b/>
                <i val="0"/>
                <color indexed="65"/>
              </font>
              <fill>
                <patternFill patternType="solid">
                  <fgColor indexed="2"/>
                  <bgColor indexed="2"/>
                </patternFill>
              </fill>
              <border>
                <left style="none"/>
                <right style="none"/>
                <top style="none"/>
                <bottom style="thin">
                  <color indexed="2"/>
                </bottom>
                <diagonal style="none"/>
              </border>
            </x14:dxf>
          </x14:cfRule>
          <xm:sqref>B10</xm:sqref>
        </x14:conditionalFormatting>
        <x14:conditionalFormatting xmlns:xm="http://schemas.microsoft.com/office/excel/2006/main">
          <x14:cfRule type="cellIs" priority="14" operator="equal" stopIfTrue="1" id="{000B000B-00FE-477E-9618-00B600A80074}">
            <xm:f>""</xm:f>
            <x14:dxf>
              <border>
                <left style="none"/>
                <right style="none"/>
                <top style="none"/>
                <bottom style="thin">
                  <color indexed="4"/>
                </bottom>
                <diagonal style="none"/>
              </border>
            </x14:dxf>
          </x14:cfRule>
          <xm:sqref>B10</xm:sqref>
        </x14:conditionalFormatting>
        <x14:conditionalFormatting xmlns:xm="http://schemas.microsoft.com/office/excel/2006/main">
          <x14:cfRule type="expression" priority="15" stopIfTrue="1" id="{003100CF-0049-4BCD-BC7C-0042005900BD}">
            <xm:f>NOT(ISNUMBER(B10))</xm:f>
            <x14:dxf>
              <font>
                <b/>
                <i val="0"/>
                <color indexed="65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B10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6" activeCellId="0" sqref="G6"/>
    </sheetView>
  </sheetViews>
  <sheetFormatPr baseColWidth="10" defaultRowHeight="12" customHeight="1"/>
  <cols>
    <col customWidth="1" min="1" max="3" width="9.1406200000000002"/>
    <col customWidth="1" min="4" max="4" width="61.855499999999999"/>
    <col customWidth="1" min="5" max="257" width="9.1406200000000002"/>
  </cols>
  <sheetData>
    <row r="1" ht="20.25">
      <c r="A1" s="1"/>
    </row>
    <row r="2" ht="18">
      <c r="A2" s="2" t="s">
        <v>0</v>
      </c>
    </row>
    <row r="3" ht="15.75">
      <c r="A3" s="3" t="s">
        <v>1</v>
      </c>
    </row>
    <row r="5" ht="23.25">
      <c r="A5" s="4" t="s">
        <v>62</v>
      </c>
      <c r="B5" s="17"/>
    </row>
    <row r="6" ht="48">
      <c r="A6" s="58">
        <v>0</v>
      </c>
      <c r="B6" s="59" t="s">
        <v>63</v>
      </c>
      <c r="C6" s="60"/>
      <c r="D6" s="61" t="s">
        <v>64</v>
      </c>
    </row>
    <row r="7" ht="60">
      <c r="A7" s="62">
        <v>40</v>
      </c>
      <c r="B7" s="63" t="s">
        <v>65</v>
      </c>
      <c r="C7" s="64"/>
      <c r="D7" s="65" t="s">
        <v>66</v>
      </c>
    </row>
    <row r="8" ht="48">
      <c r="A8" s="62">
        <v>60</v>
      </c>
      <c r="B8" s="63" t="s">
        <v>67</v>
      </c>
      <c r="C8" s="64"/>
      <c r="D8" s="65" t="s">
        <v>68</v>
      </c>
    </row>
    <row r="9" ht="36">
      <c r="A9" s="62">
        <v>80</v>
      </c>
      <c r="B9" s="63" t="s">
        <v>69</v>
      </c>
      <c r="C9" s="64"/>
      <c r="D9" s="65" t="s">
        <v>70</v>
      </c>
    </row>
    <row r="10" ht="36">
      <c r="A10" s="66">
        <v>90</v>
      </c>
      <c r="B10" s="67" t="s">
        <v>71</v>
      </c>
      <c r="C10" s="68"/>
      <c r="D10" s="69" t="s">
        <v>72</v>
      </c>
    </row>
  </sheetData>
  <sheetProtection password="C101" autoFilter="0" deleteColumns="1" deleteRows="1" formatCells="0" formatColumns="1" formatRows="1" insertColumns="1" insertHyperlinks="1" insertRows="1" objects="1" pivotTables="1" scenarios="1" selectLockedCells="1" selectUnlockedCells="0" sheet="1" sort="1"/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Construx Software Builders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C. McConnell</dc:creator>
  <cp:revision>2</cp:revision>
  <dcterms:created xsi:type="dcterms:W3CDTF">1997-11-09T19:09:00Z</dcterms:created>
  <dcterms:modified xsi:type="dcterms:W3CDTF">2025-12-19T13:42:05Z</dcterms:modified>
</cp:coreProperties>
</file>